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E04B2125-9EB7-4860-AFFD-D8B37DACA88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2" i="1" l="1"/>
  <c r="E43" i="1"/>
  <c r="E44" i="1"/>
  <c r="E45" i="1"/>
  <c r="E46" i="1"/>
  <c r="E41" i="1"/>
  <c r="H10" i="2"/>
  <c r="B20" i="2"/>
  <c r="B21" i="2"/>
  <c r="B22" i="2"/>
  <c r="B23" i="2"/>
  <c r="B24" i="2"/>
  <c r="B19" i="2"/>
  <c r="B13" i="2"/>
  <c r="B14" i="2"/>
  <c r="B15" i="2"/>
  <c r="B16" i="2"/>
  <c r="B17" i="2"/>
  <c r="B12" i="2"/>
  <c r="B6" i="2"/>
  <c r="B7" i="2"/>
  <c r="B8" i="2"/>
  <c r="B9" i="2"/>
  <c r="B10" i="2"/>
  <c r="B5" i="2"/>
  <c r="G37" i="1"/>
  <c r="G41" i="1" s="1"/>
  <c r="D29" i="1"/>
  <c r="G29" i="1" s="1"/>
  <c r="D33" i="1"/>
  <c r="G33" i="1" s="1"/>
  <c r="D32" i="1"/>
  <c r="G32" i="1" s="1"/>
  <c r="D31" i="1"/>
  <c r="G31" i="1" s="1"/>
  <c r="D30" i="1"/>
  <c r="G30" i="1" s="1"/>
  <c r="G24" i="1"/>
  <c r="G25" i="1" s="1"/>
  <c r="G42" i="1" l="1"/>
  <c r="G43" i="1"/>
  <c r="G44" i="1"/>
  <c r="G45" i="1"/>
  <c r="G46" i="1"/>
  <c r="G48" i="1"/>
</calcChain>
</file>

<file path=xl/sharedStrings.xml><?xml version="1.0" encoding="utf-8"?>
<sst xmlns="http://schemas.openxmlformats.org/spreadsheetml/2006/main" count="70" uniqueCount="35">
  <si>
    <t xml:space="preserve">         CONFIGURAÇÕES</t>
  </si>
  <si>
    <t xml:space="preserve">  Salário</t>
  </si>
  <si>
    <t xml:space="preserve">  Rendimento da Carteira</t>
  </si>
  <si>
    <t xml:space="preserve">  Sugestão de Investimento (40%)</t>
  </si>
  <si>
    <t xml:space="preserve">   INVESTIMENTO MENSAL</t>
  </si>
  <si>
    <t xml:space="preserve">  Investimento Mensal</t>
  </si>
  <si>
    <t xml:space="preserve">  Período em Anos</t>
  </si>
  <si>
    <t xml:space="preserve">  Rendimento Mensal</t>
  </si>
  <si>
    <t xml:space="preserve">  Patrimônio Acumulado</t>
  </si>
  <si>
    <t xml:space="preserve">  Dividendos</t>
  </si>
  <si>
    <t xml:space="preserve">    PROJEÇÃO E DIVIDENDOS</t>
  </si>
  <si>
    <t xml:space="preserve">  2 Anos</t>
  </si>
  <si>
    <t xml:space="preserve">  5 Anos</t>
  </si>
  <si>
    <t xml:space="preserve">  10 Anos</t>
  </si>
  <si>
    <t xml:space="preserve">  15 Anos</t>
  </si>
  <si>
    <t xml:space="preserve">  20 Anos</t>
  </si>
  <si>
    <t xml:space="preserve"> Perfil</t>
  </si>
  <si>
    <t>Agressivo</t>
  </si>
  <si>
    <t>Valor a ser Investido por Mês</t>
  </si>
  <si>
    <t>Tipos de FII</t>
  </si>
  <si>
    <t>% Sugerido</t>
  </si>
  <si>
    <t>Valores</t>
  </si>
  <si>
    <t>PAPEL</t>
  </si>
  <si>
    <t>TIJOLO</t>
  </si>
  <si>
    <t>HÍBRIDOS</t>
  </si>
  <si>
    <t>FOFs</t>
  </si>
  <si>
    <t>DESENVOLVIMENTO</t>
  </si>
  <si>
    <t>HOTERALIAS</t>
  </si>
  <si>
    <t>TOTAL</t>
  </si>
  <si>
    <t>CHAVE</t>
  </si>
  <si>
    <t>PERFIS</t>
  </si>
  <si>
    <t>%</t>
  </si>
  <si>
    <t>Conservador</t>
  </si>
  <si>
    <t>Conservador-PAPEL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</si>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</sst>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0;[Red]\-&quot;R$&quot;\ #,##0.000"/>
    <numFmt numFmtId="165" formatCode="&quot;R$&quot;\ #,##0.00"/>
    <numFmt numFmtId="166" formatCode="&quot;R$&quot;\ #,##0"/>
  </numFmts>
  <fonts count="9">
    <font>
      <sz val="11"/>
      <color theme="1"/>
      <name val="Calibri"/>
      <family val="2"/>
      <scheme val="minor"/>
    </font>
    <font>
      <sz val="18"/>
      <color theme="3"/>
      <name val="Calibri"/>
      <scheme val="major"/>
    </font>
    <font>
      <sz val="18"/>
      <color rgb="FFFFFFFF"/>
      <name val="Calibri"/>
      <scheme val="minor"/>
    </font>
    <font>
      <sz val="18"/>
      <color theme="0"/>
      <name val="Calibri"/>
      <scheme val="major"/>
    </font>
    <font>
      <sz val="12"/>
      <color theme="3"/>
      <name val="Calibri"/>
      <scheme val="minor"/>
    </font>
    <font>
      <b/>
      <sz val="11"/>
      <color rgb="FF000000"/>
      <name val="Calibri"/>
      <scheme val="minor"/>
    </font>
    <font>
      <sz val="11"/>
      <color rgb="FFFFFFFF"/>
      <name val="Calibri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696D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1" fillId="3" borderId="8" xfId="1" applyFill="1" applyBorder="1" applyAlignment="1">
      <alignment horizontal="left"/>
    </xf>
    <xf numFmtId="0" fontId="2" fillId="3" borderId="8" xfId="1" applyFont="1" applyFill="1" applyBorder="1"/>
    <xf numFmtId="0" fontId="1" fillId="3" borderId="8" xfId="1" applyFill="1" applyBorder="1"/>
    <xf numFmtId="0" fontId="1" fillId="3" borderId="8" xfId="1" applyFill="1" applyBorder="1" applyAlignment="1">
      <alignment horizontal="center"/>
    </xf>
    <xf numFmtId="0" fontId="3" fillId="3" borderId="8" xfId="1" applyFont="1" applyFill="1" applyBorder="1" applyAlignment="1">
      <alignment horizontal="left"/>
    </xf>
    <xf numFmtId="0" fontId="4" fillId="5" borderId="8" xfId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8" xfId="0" applyFill="1" applyBorder="1"/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8" fontId="0" fillId="4" borderId="5" xfId="0" applyNumberFormat="1" applyFill="1" applyBorder="1" applyAlignment="1">
      <alignment horizontal="left"/>
    </xf>
    <xf numFmtId="8" fontId="0" fillId="4" borderId="2" xfId="0" applyNumberFormat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6" fillId="3" borderId="8" xfId="0" applyFont="1" applyFill="1" applyBorder="1" applyAlignment="1">
      <alignment horizontal="left" vertical="center"/>
    </xf>
    <xf numFmtId="0" fontId="0" fillId="3" borderId="8" xfId="0" applyFont="1" applyFill="1" applyBorder="1"/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165" fontId="7" fillId="3" borderId="1" xfId="0" applyNumberFormat="1" applyFont="1" applyFill="1" applyBorder="1" applyAlignment="1">
      <alignment horizontal="left"/>
    </xf>
    <xf numFmtId="0" fontId="0" fillId="5" borderId="1" xfId="0" applyFill="1" applyBorder="1"/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9" fontId="0" fillId="0" borderId="11" xfId="0" applyNumberFormat="1" applyBorder="1" applyAlignment="1">
      <alignment horizontal="center"/>
    </xf>
    <xf numFmtId="0" fontId="0" fillId="5" borderId="12" xfId="0" applyFill="1" applyBorder="1"/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0" fontId="0" fillId="0" borderId="0" xfId="0" applyNumberFormat="1"/>
    <xf numFmtId="0" fontId="0" fillId="0" borderId="11" xfId="0" applyBorder="1" applyAlignment="1">
      <alignment horizontal="center"/>
    </xf>
    <xf numFmtId="9" fontId="0" fillId="0" borderId="0" xfId="0" applyNumberFormat="1"/>
    <xf numFmtId="0" fontId="0" fillId="2" borderId="0" xfId="0" applyFill="1" applyBorder="1"/>
    <xf numFmtId="0" fontId="8" fillId="0" borderId="0" xfId="0" applyFont="1"/>
  </cellXfs>
  <cellStyles count="2">
    <cellStyle name="Normal" xfId="0" builtinId="0"/>
    <cellStyle name="Título" xfId="1" builtinId="15"/>
  </cellStyles>
  <dxfs count="3">
    <dxf>
      <font>
        <color theme="0"/>
      </font>
      <fill>
        <patternFill patternType="solid">
          <bgColor rgb="FFF55F5F"/>
        </patternFill>
      </fill>
    </dxf>
    <dxf>
      <font>
        <color theme="0"/>
      </font>
      <fill>
        <patternFill patternType="solid">
          <bgColor theme="7" tint="0.39997558519241921"/>
        </patternFill>
      </fill>
    </dxf>
    <dxf>
      <font>
        <color theme="0"/>
      </font>
      <fill>
        <patternFill patternType="solid">
          <bgColor theme="9" tint="0.39997558519241921"/>
        </patternFill>
      </fill>
    </dxf>
  </dxfs>
  <tableStyles count="0" defaultTableStyle="TableStyleMedium2" defaultPivotStyle="PivotStyleMedium9"/>
  <colors>
    <mruColors>
      <color rgb="FFF55F5F"/>
      <color rgb="FF0696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Planilha1!$C$40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Planilha1!$B$41:$B$48</c:f>
              <c:strCache>
                <c:ptCount val="8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HOTERALIAS</c:v>
                </c:pt>
                <c:pt idx="7">
                  <c:v>TOTAL</c:v>
                </c:pt>
              </c:strCache>
            </c:strRef>
          </c:cat>
          <c:val>
            <c:numRef>
              <c:f>Planilha1!$C$41:$C$48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A22-4902-BCEC-E596A45E8F7B}"/>
            </c:ext>
          </c:extLst>
        </c:ser>
        <c:ser>
          <c:idx val="1"/>
          <c:order val="1"/>
          <c:tx>
            <c:strRef>
              <c:f>Planilha1!$D$40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Planilha1!$B$41:$B$48</c:f>
              <c:strCache>
                <c:ptCount val="8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HOTERALIAS</c:v>
                </c:pt>
                <c:pt idx="7">
                  <c:v>TOTAL</c:v>
                </c:pt>
              </c:strCache>
            </c:strRef>
          </c:cat>
          <c:val>
            <c:numRef>
              <c:f>Planilha1!$D$41:$D$48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2A22-4902-BCEC-E596A45E8F7B}"/>
            </c:ext>
          </c:extLst>
        </c:ser>
        <c:ser>
          <c:idx val="2"/>
          <c:order val="2"/>
          <c:tx>
            <c:strRef>
              <c:f>Planilha1!$E$40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Planilha1!$B$41:$B$48</c:f>
              <c:strCache>
                <c:ptCount val="8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HOTERALIAS</c:v>
                </c:pt>
                <c:pt idx="7">
                  <c:v>TOTAL</c:v>
                </c:pt>
              </c:strCache>
            </c:strRef>
          </c:cat>
          <c:val>
            <c:numRef>
              <c:f>Planilha1!$E$41:$E$48</c:f>
              <c:numCache>
                <c:formatCode>0%</c:formatCode>
                <c:ptCount val="8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2-4902-BCEC-E596A45E8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6</xdr:col>
      <xdr:colOff>476250</xdr:colOff>
      <xdr:row>10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377D81-129F-C126-5BB3-E924BCCC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23825"/>
          <a:ext cx="3924300" cy="1800225"/>
        </a:xfrm>
        <a:prstGeom prst="rect">
          <a:avLst/>
        </a:prstGeom>
      </xdr:spPr>
    </xdr:pic>
    <xdr:clientData/>
  </xdr:twoCellAnchor>
  <xdr:twoCellAnchor>
    <xdr:from>
      <xdr:col>7</xdr:col>
      <xdr:colOff>57150</xdr:colOff>
      <xdr:row>36</xdr:row>
      <xdr:rowOff>28575</xdr:rowOff>
    </xdr:from>
    <xdr:to>
      <xdr:col>16384</xdr:col>
      <xdr:colOff>180975</xdr:colOff>
      <xdr:row>49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362117-B68F-CC9D-84C7-F159D3F3A0C9}"/>
            </a:ext>
            <a:ext uri="{147F2762-F138-4A5C-976F-8EAC2B608ADB}">
              <a16:predDERef xmlns:a16="http://schemas.microsoft.com/office/drawing/2014/main" pred="{9D377D81-129F-C126-5BB3-E924BCCC6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showGridLines="0" tabSelected="1" topLeftCell="A32" workbookViewId="0">
      <selection activeCell="J34" sqref="J34"/>
    </sheetView>
  </sheetViews>
  <sheetFormatPr defaultColWidth="0" defaultRowHeight="15"/>
  <cols>
    <col min="1" max="1" width="8" customWidth="1"/>
    <col min="2" max="2" width="9.140625" style="10" customWidth="1"/>
    <col min="3" max="3" width="8.5703125" customWidth="1"/>
    <col min="4" max="4" width="14.5703125" customWidth="1"/>
    <col min="5" max="5" width="10.28515625" customWidth="1"/>
    <col min="6" max="6" width="9.140625" customWidth="1"/>
    <col min="7" max="7" width="13" style="6" customWidth="1"/>
    <col min="8" max="12" width="8.140625" customWidth="1"/>
  </cols>
  <sheetData>
    <row r="1" spans="1:12">
      <c r="A1" s="1"/>
      <c r="B1" s="8"/>
      <c r="C1" s="1"/>
      <c r="D1" s="1"/>
      <c r="E1" s="1"/>
      <c r="F1" s="1"/>
      <c r="G1" s="4"/>
      <c r="H1" s="1"/>
      <c r="I1" s="1"/>
      <c r="J1" s="1"/>
      <c r="K1" s="1"/>
      <c r="L1" s="1"/>
    </row>
    <row r="2" spans="1:12">
      <c r="A2" s="1"/>
      <c r="B2" s="8"/>
      <c r="C2" s="1"/>
      <c r="D2" s="1"/>
      <c r="E2" s="1"/>
      <c r="F2" s="1"/>
      <c r="G2" s="4"/>
      <c r="H2" s="1"/>
      <c r="I2" s="1"/>
      <c r="J2" s="1"/>
      <c r="K2" s="1"/>
      <c r="L2" s="1"/>
    </row>
    <row r="3" spans="1:12">
      <c r="A3" s="1"/>
      <c r="B3" s="8"/>
      <c r="C3" s="1"/>
      <c r="D3" s="1"/>
      <c r="E3" s="1"/>
      <c r="F3" s="1"/>
      <c r="G3" s="4"/>
      <c r="H3" s="1"/>
      <c r="I3" s="1"/>
      <c r="J3" s="1"/>
      <c r="K3" s="1"/>
      <c r="L3" s="1"/>
    </row>
    <row r="4" spans="1:12">
      <c r="A4" s="1"/>
      <c r="B4" s="8"/>
      <c r="C4" s="1"/>
      <c r="D4" s="1"/>
      <c r="E4" s="1"/>
      <c r="F4" s="1"/>
      <c r="G4" s="4"/>
      <c r="H4" s="1"/>
      <c r="I4" s="1"/>
      <c r="J4" s="1"/>
      <c r="K4" s="1"/>
      <c r="L4" s="1"/>
    </row>
    <row r="5" spans="1:12">
      <c r="A5" s="1"/>
      <c r="B5" s="8"/>
      <c r="C5" s="1"/>
      <c r="D5" s="1"/>
      <c r="E5" s="1"/>
      <c r="F5" s="1"/>
      <c r="G5" s="4"/>
      <c r="H5" s="1"/>
      <c r="I5" s="1"/>
      <c r="J5" s="1"/>
      <c r="K5" s="1"/>
      <c r="L5" s="1"/>
    </row>
    <row r="6" spans="1:12">
      <c r="A6" s="1"/>
      <c r="B6" s="8"/>
      <c r="C6" s="1"/>
      <c r="D6" s="1"/>
      <c r="E6" s="1"/>
      <c r="F6" s="1"/>
      <c r="G6" s="4"/>
      <c r="H6" s="1"/>
      <c r="I6" s="1"/>
      <c r="J6" s="1"/>
      <c r="K6" s="1"/>
      <c r="L6" s="1"/>
    </row>
    <row r="7" spans="1:12">
      <c r="A7" s="1"/>
      <c r="B7" s="8"/>
      <c r="C7" s="1"/>
      <c r="D7" s="1"/>
      <c r="E7" s="1"/>
      <c r="F7" s="1"/>
      <c r="G7" s="4"/>
      <c r="H7" s="1"/>
      <c r="I7" s="1"/>
      <c r="J7" s="1"/>
      <c r="K7" s="1"/>
      <c r="L7" s="1"/>
    </row>
    <row r="8" spans="1:12">
      <c r="A8" s="1"/>
      <c r="B8" s="8"/>
      <c r="C8" s="1"/>
      <c r="D8" s="1"/>
      <c r="E8" s="1"/>
      <c r="F8" s="1"/>
      <c r="G8" s="4"/>
      <c r="H8" s="1"/>
      <c r="I8" s="1"/>
      <c r="J8" s="1"/>
      <c r="K8" s="1"/>
      <c r="L8" s="1"/>
    </row>
    <row r="9" spans="1:12">
      <c r="A9" s="1"/>
      <c r="B9" s="8"/>
      <c r="C9" s="1"/>
      <c r="D9" s="1"/>
      <c r="E9" s="1"/>
      <c r="F9" s="1"/>
      <c r="G9" s="4"/>
      <c r="H9" s="1"/>
      <c r="I9" s="1"/>
      <c r="J9" s="1"/>
      <c r="K9" s="1"/>
      <c r="L9" s="1"/>
    </row>
    <row r="10" spans="1:12">
      <c r="A10" s="1"/>
      <c r="B10" s="8"/>
      <c r="C10" s="1"/>
      <c r="D10" s="1"/>
      <c r="E10" s="1"/>
      <c r="F10" s="1"/>
      <c r="G10" s="4"/>
      <c r="H10" s="1"/>
      <c r="I10" s="1"/>
      <c r="J10" s="1"/>
      <c r="K10" s="1"/>
      <c r="L10" s="1"/>
    </row>
    <row r="11" spans="1:12">
      <c r="A11" s="3"/>
      <c r="B11" s="9"/>
      <c r="C11" s="3"/>
      <c r="D11" s="3"/>
      <c r="E11" s="3"/>
      <c r="F11" s="3"/>
      <c r="G11" s="5"/>
      <c r="H11" s="3"/>
      <c r="I11" s="58"/>
      <c r="J11" s="58"/>
      <c r="K11" s="58"/>
      <c r="L11" s="58"/>
    </row>
    <row r="13" spans="1:12" ht="23.25">
      <c r="B13" s="18"/>
      <c r="C13" s="19" t="s">
        <v>0</v>
      </c>
      <c r="D13" s="20"/>
      <c r="E13" s="20"/>
      <c r="F13" s="20"/>
      <c r="G13" s="21"/>
    </row>
    <row r="14" spans="1:12">
      <c r="B14" s="11" t="s">
        <v>1</v>
      </c>
      <c r="C14" s="12"/>
      <c r="D14" s="12"/>
      <c r="E14" s="12"/>
      <c r="F14" s="12"/>
      <c r="G14" s="35">
        <v>2.5</v>
      </c>
    </row>
    <row r="15" spans="1:12">
      <c r="B15" s="13" t="s">
        <v>2</v>
      </c>
      <c r="C15" s="2"/>
      <c r="D15" s="2"/>
      <c r="E15" s="2"/>
      <c r="F15" s="2"/>
      <c r="G15" s="15">
        <v>7.4999999999999997E-3</v>
      </c>
    </row>
    <row r="16" spans="1:12">
      <c r="B16" s="13" t="s">
        <v>3</v>
      </c>
      <c r="C16" s="2"/>
      <c r="D16" s="2"/>
      <c r="E16" s="2"/>
      <c r="F16" s="2"/>
      <c r="G16" s="36">
        <v>800</v>
      </c>
    </row>
    <row r="19" spans="2:7" ht="23.25">
      <c r="B19" s="18"/>
      <c r="C19" s="19" t="s">
        <v>4</v>
      </c>
      <c r="D19" s="20"/>
      <c r="E19" s="20"/>
      <c r="F19" s="20"/>
      <c r="G19" s="21"/>
    </row>
    <row r="20" spans="2:7">
      <c r="B20" s="11" t="s">
        <v>5</v>
      </c>
      <c r="C20" s="12"/>
      <c r="D20" s="12"/>
      <c r="E20" s="12"/>
      <c r="F20" s="12"/>
      <c r="G20" s="33">
        <v>700</v>
      </c>
    </row>
    <row r="21" spans="2:7">
      <c r="B21" s="13" t="s">
        <v>6</v>
      </c>
      <c r="C21" s="2"/>
      <c r="D21" s="2"/>
      <c r="E21" s="2"/>
      <c r="F21" s="2"/>
      <c r="G21" s="14">
        <v>7</v>
      </c>
    </row>
    <row r="22" spans="2:7">
      <c r="B22" s="13" t="s">
        <v>7</v>
      </c>
      <c r="C22" s="2"/>
      <c r="D22" s="2"/>
      <c r="E22" s="2"/>
      <c r="F22" s="2"/>
      <c r="G22" s="15">
        <v>1.03E-2</v>
      </c>
    </row>
    <row r="23" spans="2:7">
      <c r="B23" s="13"/>
      <c r="C23" s="2"/>
      <c r="D23" s="2"/>
      <c r="E23" s="2"/>
      <c r="F23" s="2"/>
      <c r="G23" s="34"/>
    </row>
    <row r="24" spans="2:7">
      <c r="B24" s="16" t="s">
        <v>8</v>
      </c>
      <c r="C24" s="7"/>
      <c r="D24" s="7"/>
      <c r="E24" s="7"/>
      <c r="F24" s="7"/>
      <c r="G24" s="32">
        <f>FV(G22,G21*12,G20*-1)</f>
        <v>92766.437385151119</v>
      </c>
    </row>
    <row r="25" spans="2:7">
      <c r="B25" s="16" t="s">
        <v>9</v>
      </c>
      <c r="C25" s="7"/>
      <c r="D25" s="7"/>
      <c r="E25" s="7"/>
      <c r="F25" s="7"/>
      <c r="G25" s="32">
        <f>G24*G22</f>
        <v>955.49430506705653</v>
      </c>
    </row>
    <row r="28" spans="2:7" ht="23.25">
      <c r="B28" s="18"/>
      <c r="C28" s="19" t="s">
        <v>10</v>
      </c>
      <c r="D28" s="20"/>
      <c r="E28" s="20"/>
      <c r="F28" s="20"/>
      <c r="G28" s="21"/>
    </row>
    <row r="29" spans="2:7">
      <c r="B29" s="11" t="s">
        <v>11</v>
      </c>
      <c r="C29" s="12"/>
      <c r="D29" s="31">
        <f>FV(G22,2*12,G20*-1)</f>
        <v>18948.742322448295</v>
      </c>
      <c r="E29" s="12"/>
      <c r="F29" s="12"/>
      <c r="G29" s="31">
        <f>D29*1.03%</f>
        <v>195.17204592121743</v>
      </c>
    </row>
    <row r="30" spans="2:7">
      <c r="B30" s="13" t="s">
        <v>12</v>
      </c>
      <c r="C30" s="2"/>
      <c r="D30" s="32">
        <f>FV(G22,5*12,G20*-1)</f>
        <v>57723.413928454589</v>
      </c>
      <c r="E30" s="2"/>
      <c r="F30" s="2"/>
      <c r="G30" s="32">
        <f>D30*1.03%</f>
        <v>594.55116346308228</v>
      </c>
    </row>
    <row r="31" spans="2:7">
      <c r="B31" s="13" t="s">
        <v>13</v>
      </c>
      <c r="C31" s="2"/>
      <c r="D31" s="32">
        <f>FV(G22,10*12,G20*-1)</f>
        <v>164474.71772865744</v>
      </c>
      <c r="E31" s="2"/>
      <c r="F31" s="2"/>
      <c r="G31" s="32">
        <f>D31*1.03%</f>
        <v>1694.0895926051717</v>
      </c>
    </row>
    <row r="32" spans="2:7">
      <c r="B32" s="17" t="s">
        <v>14</v>
      </c>
      <c r="C32" s="2"/>
      <c r="D32" s="32">
        <f>FV(G22,15*12,G20*-1)</f>
        <v>361896.18135116238</v>
      </c>
      <c r="E32" s="2"/>
      <c r="F32" s="2"/>
      <c r="G32" s="32">
        <f>D32*1.03%</f>
        <v>3727.5306679169726</v>
      </c>
    </row>
    <row r="33" spans="2:10">
      <c r="B33" s="11" t="s">
        <v>15</v>
      </c>
      <c r="C33" s="2"/>
      <c r="D33" s="32">
        <f>FV(G22,20*12,G20*-1)</f>
        <v>726999.30338701722</v>
      </c>
      <c r="E33" s="2"/>
      <c r="F33" s="2"/>
      <c r="G33" s="32">
        <f>D33*1.03%</f>
        <v>7488.0928248862774</v>
      </c>
    </row>
    <row r="34" spans="2:10">
      <c r="J34" s="59"/>
    </row>
    <row r="36" spans="2:10" ht="23.25">
      <c r="B36" s="22" t="s">
        <v>16</v>
      </c>
      <c r="C36" s="19"/>
      <c r="D36" s="20"/>
      <c r="E36" s="20"/>
      <c r="F36" s="20"/>
      <c r="G36" s="23" t="s">
        <v>17</v>
      </c>
    </row>
    <row r="37" spans="2:10">
      <c r="B37" s="24" t="s">
        <v>18</v>
      </c>
      <c r="G37" s="30">
        <f>G20</f>
        <v>700</v>
      </c>
    </row>
    <row r="40" spans="2:10" ht="19.5" customHeight="1">
      <c r="B40" s="37" t="s">
        <v>19</v>
      </c>
      <c r="C40" s="38"/>
      <c r="D40" s="38"/>
      <c r="E40" s="39" t="s">
        <v>20</v>
      </c>
      <c r="F40" s="38"/>
      <c r="G40" s="40" t="s">
        <v>21</v>
      </c>
    </row>
    <row r="41" spans="2:10">
      <c r="B41" s="10" t="s">
        <v>22</v>
      </c>
      <c r="E41" s="29">
        <f>VLOOKUP($G$36&amp;"-"&amp;B41,Planilha2!$B:$F,5,FALSE)</f>
        <v>0.5</v>
      </c>
      <c r="G41" s="30">
        <f>E41*$G$37</f>
        <v>350</v>
      </c>
    </row>
    <row r="42" spans="2:10">
      <c r="B42" s="10" t="s">
        <v>23</v>
      </c>
      <c r="E42" s="29">
        <f>VLOOKUP($G$36&amp;"-"&amp;B42,Planilha2!$B:$F,5,FALSE)</f>
        <v>0.1</v>
      </c>
      <c r="G42" s="30">
        <f t="shared" ref="G42:G46" si="0">E42*$G$37</f>
        <v>70</v>
      </c>
    </row>
    <row r="43" spans="2:10">
      <c r="B43" s="10" t="s">
        <v>24</v>
      </c>
      <c r="E43" s="29">
        <f>VLOOKUP($G$36&amp;"-"&amp;B43,Planilha2!$B:$F,5,FALSE)</f>
        <v>0.05</v>
      </c>
      <c r="G43" s="30">
        <f t="shared" si="0"/>
        <v>35</v>
      </c>
    </row>
    <row r="44" spans="2:10">
      <c r="B44" s="10" t="s">
        <v>25</v>
      </c>
      <c r="E44" s="29">
        <f>VLOOKUP($G$36&amp;"-"&amp;B44,Planilha2!$B:$F,5,FALSE)</f>
        <v>0.05</v>
      </c>
      <c r="G44" s="30">
        <f t="shared" si="0"/>
        <v>35</v>
      </c>
    </row>
    <row r="45" spans="2:10">
      <c r="B45" s="10" t="s">
        <v>26</v>
      </c>
      <c r="E45" s="29">
        <f>VLOOKUP($G$36&amp;"-"&amp;B45,Planilha2!$B:$F,5,FALSE)</f>
        <v>0.2</v>
      </c>
      <c r="G45" s="30">
        <f t="shared" si="0"/>
        <v>140</v>
      </c>
    </row>
    <row r="46" spans="2:10">
      <c r="B46" s="10" t="s">
        <v>27</v>
      </c>
      <c r="E46" s="29">
        <f>VLOOKUP($G$36&amp;"-"&amp;B46,Planilha2!$B:$F,5,FALSE)</f>
        <v>0.1</v>
      </c>
      <c r="G46" s="30">
        <f t="shared" si="0"/>
        <v>70</v>
      </c>
    </row>
    <row r="47" spans="2:10">
      <c r="B47" s="25"/>
      <c r="C47" s="26"/>
      <c r="D47" s="26"/>
      <c r="E47" s="26"/>
      <c r="F47" s="26"/>
      <c r="G47" s="27"/>
    </row>
    <row r="48" spans="2:10">
      <c r="B48" s="41" t="s">
        <v>28</v>
      </c>
      <c r="C48" s="42"/>
      <c r="D48" s="42"/>
      <c r="E48" s="42"/>
      <c r="F48" s="42"/>
      <c r="G48" s="43">
        <f>SUM(G41:G46)</f>
        <v>700</v>
      </c>
    </row>
  </sheetData>
  <conditionalFormatting sqref="G36">
    <cfRule type="expression" dxfId="2" priority="3">
      <formula>$G$36="Conservador"</formula>
    </cfRule>
  </conditionalFormatting>
  <conditionalFormatting sqref="G36">
    <cfRule type="expression" dxfId="1" priority="2">
      <formula>$G$36="Moderado"</formula>
    </cfRule>
  </conditionalFormatting>
  <conditionalFormatting sqref="G36">
    <cfRule type="expression" dxfId="0" priority="1">
      <formula>$G$36="Agressivo"</formula>
    </cfRule>
  </conditionalFormatting>
  <dataValidations count="1">
    <dataValidation type="list" allowBlank="1" showInputMessage="1" showErrorMessage="1" sqref="G36" xr:uid="{E14F9C13-D784-423B-BC98-0669D4FC94AE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11FF-CC22-4622-804D-8CDC9ADDAD6B}">
  <dimension ref="B2:I25"/>
  <sheetViews>
    <sheetView topLeftCell="A6" workbookViewId="0">
      <selection activeCell="F16" sqref="F16"/>
    </sheetView>
  </sheetViews>
  <sheetFormatPr defaultRowHeight="15"/>
  <cols>
    <col min="1" max="1" width="5.7109375" customWidth="1"/>
    <col min="2" max="2" width="36.5703125" customWidth="1"/>
    <col min="3" max="3" width="16.85546875" customWidth="1"/>
    <col min="4" max="4" width="21" customWidth="1"/>
    <col min="8" max="8" width="28" customWidth="1"/>
  </cols>
  <sheetData>
    <row r="2" spans="2:9">
      <c r="B2" s="47"/>
      <c r="C2" s="28"/>
      <c r="D2" s="28"/>
      <c r="E2" s="28"/>
      <c r="F2" s="48"/>
    </row>
    <row r="3" spans="2:9">
      <c r="B3" s="45" t="s">
        <v>29</v>
      </c>
      <c r="C3" s="6" t="s">
        <v>30</v>
      </c>
      <c r="F3" s="56" t="s">
        <v>31</v>
      </c>
    </row>
    <row r="4" spans="2:9">
      <c r="B4" s="46"/>
      <c r="C4" s="26"/>
      <c r="D4" s="26"/>
      <c r="E4" s="26"/>
      <c r="F4" s="49"/>
    </row>
    <row r="5" spans="2:9">
      <c r="B5" s="45" t="str">
        <f>C5&amp;"-"&amp;D5</f>
        <v>Conservador-PAPEL</v>
      </c>
      <c r="C5" s="6" t="s">
        <v>32</v>
      </c>
      <c r="D5" s="6" t="s">
        <v>22</v>
      </c>
      <c r="F5" s="50">
        <v>0.3</v>
      </c>
    </row>
    <row r="6" spans="2:9">
      <c r="B6" s="45" t="str">
        <f t="shared" ref="B6:B10" si="0">C6&amp;"-"&amp;D6</f>
        <v>Conservador-TIJOLO</v>
      </c>
      <c r="C6" s="6" t="s">
        <v>32</v>
      </c>
      <c r="D6" s="6" t="s">
        <v>23</v>
      </c>
      <c r="F6" s="50">
        <v>0.5</v>
      </c>
    </row>
    <row r="7" spans="2:9">
      <c r="B7" s="45" t="str">
        <f t="shared" si="0"/>
        <v>Conservador-HÍBRIDOS</v>
      </c>
      <c r="C7" s="6" t="s">
        <v>32</v>
      </c>
      <c r="D7" s="6" t="s">
        <v>24</v>
      </c>
      <c r="F7" s="50">
        <v>0.1</v>
      </c>
    </row>
    <row r="8" spans="2:9">
      <c r="B8" s="45" t="str">
        <f t="shared" si="0"/>
        <v>Conservador-FOFs</v>
      </c>
      <c r="C8" s="6" t="s">
        <v>32</v>
      </c>
      <c r="D8" s="6" t="s">
        <v>25</v>
      </c>
      <c r="F8" s="50">
        <v>0.1</v>
      </c>
    </row>
    <row r="9" spans="2:9">
      <c r="B9" s="45" t="str">
        <f t="shared" si="0"/>
        <v>Conservador-DESENVOLVIMENTO</v>
      </c>
      <c r="C9" s="6" t="s">
        <v>32</v>
      </c>
      <c r="D9" s="6" t="s">
        <v>26</v>
      </c>
      <c r="F9" s="50">
        <v>0</v>
      </c>
      <c r="H9" t="s">
        <v>33</v>
      </c>
      <c r="I9" t="s">
        <v>31</v>
      </c>
    </row>
    <row r="10" spans="2:9">
      <c r="B10" s="45" t="str">
        <f t="shared" si="0"/>
        <v>Conservador-HOTERALIAS</v>
      </c>
      <c r="C10" s="6" t="s">
        <v>32</v>
      </c>
      <c r="D10" s="6" t="s">
        <v>27</v>
      </c>
      <c r="F10" s="50">
        <v>0</v>
      </c>
      <c r="H10" s="57">
        <f>VLOOKUP(H9,B:F,5,FALSE)</f>
        <v>0.3</v>
      </c>
    </row>
    <row r="11" spans="2:9">
      <c r="B11" s="46"/>
      <c r="C11" s="26"/>
      <c r="D11" s="26"/>
      <c r="E11" s="26"/>
      <c r="F11" s="49"/>
    </row>
    <row r="12" spans="2:9">
      <c r="B12" s="45" t="str">
        <f>C12&amp;"-"&amp;D12</f>
        <v>Moderado-PAPEL</v>
      </c>
      <c r="C12" s="52" t="s">
        <v>34</v>
      </c>
      <c r="D12" s="6" t="s">
        <v>22</v>
      </c>
      <c r="F12" s="50">
        <v>0.32</v>
      </c>
    </row>
    <row r="13" spans="2:9">
      <c r="B13" s="45" t="str">
        <f t="shared" ref="B13:B17" si="1">C13&amp;"-"&amp;D13</f>
        <v>Moderado-TIJOLO</v>
      </c>
      <c r="C13" s="52" t="s">
        <v>34</v>
      </c>
      <c r="D13" s="6" t="s">
        <v>23</v>
      </c>
      <c r="F13" s="50">
        <v>0.35</v>
      </c>
      <c r="H13" s="55"/>
    </row>
    <row r="14" spans="2:9">
      <c r="B14" s="45" t="str">
        <f t="shared" si="1"/>
        <v>Moderado-HÍBRIDOS</v>
      </c>
      <c r="C14" s="52" t="s">
        <v>34</v>
      </c>
      <c r="D14" s="6" t="s">
        <v>24</v>
      </c>
      <c r="F14" s="50">
        <v>0.08</v>
      </c>
    </row>
    <row r="15" spans="2:9">
      <c r="B15" s="45" t="str">
        <f t="shared" si="1"/>
        <v>Moderado-FOFs</v>
      </c>
      <c r="C15" s="52" t="s">
        <v>34</v>
      </c>
      <c r="D15" s="6" t="s">
        <v>25</v>
      </c>
      <c r="F15" s="50">
        <v>0.05</v>
      </c>
    </row>
    <row r="16" spans="2:9">
      <c r="B16" s="45" t="str">
        <f t="shared" si="1"/>
        <v>Moderado-DESENVOLVIMENTO</v>
      </c>
      <c r="C16" s="52" t="s">
        <v>34</v>
      </c>
      <c r="D16" s="6" t="s">
        <v>26</v>
      </c>
      <c r="F16" s="50">
        <v>0.1</v>
      </c>
    </row>
    <row r="17" spans="2:6">
      <c r="B17" s="45" t="str">
        <f t="shared" si="1"/>
        <v>Moderado-HOTERALIAS</v>
      </c>
      <c r="C17" s="52" t="s">
        <v>34</v>
      </c>
      <c r="D17" s="6" t="s">
        <v>27</v>
      </c>
      <c r="F17" s="50">
        <v>0.1</v>
      </c>
    </row>
    <row r="18" spans="2:6">
      <c r="B18" s="46"/>
      <c r="C18" s="53"/>
      <c r="D18" s="26"/>
      <c r="E18" s="26"/>
      <c r="F18" s="49"/>
    </row>
    <row r="19" spans="2:6">
      <c r="B19" s="45" t="str">
        <f>C19&amp;"-"&amp;D19</f>
        <v>Agressivo-PAPEL</v>
      </c>
      <c r="C19" s="52" t="s">
        <v>17</v>
      </c>
      <c r="D19" s="6" t="s">
        <v>22</v>
      </c>
      <c r="F19" s="50">
        <v>0.5</v>
      </c>
    </row>
    <row r="20" spans="2:6">
      <c r="B20" s="45" t="str">
        <f t="shared" ref="B20:B24" si="2">C20&amp;"-"&amp;D20</f>
        <v>Agressivo-TIJOLO</v>
      </c>
      <c r="C20" s="52" t="s">
        <v>17</v>
      </c>
      <c r="D20" s="6" t="s">
        <v>23</v>
      </c>
      <c r="F20" s="50">
        <v>0.1</v>
      </c>
    </row>
    <row r="21" spans="2:6">
      <c r="B21" s="45" t="str">
        <f t="shared" si="2"/>
        <v>Agressivo-HÍBRIDOS</v>
      </c>
      <c r="C21" s="52" t="s">
        <v>17</v>
      </c>
      <c r="D21" s="6" t="s">
        <v>24</v>
      </c>
      <c r="F21" s="50">
        <v>0.05</v>
      </c>
    </row>
    <row r="22" spans="2:6">
      <c r="B22" s="45" t="str">
        <f t="shared" si="2"/>
        <v>Agressivo-FOFs</v>
      </c>
      <c r="C22" s="52" t="s">
        <v>17</v>
      </c>
      <c r="D22" s="6" t="s">
        <v>25</v>
      </c>
      <c r="F22" s="50">
        <v>0.05</v>
      </c>
    </row>
    <row r="23" spans="2:6">
      <c r="B23" s="45" t="str">
        <f t="shared" si="2"/>
        <v>Agressivo-DESENVOLVIMENTO</v>
      </c>
      <c r="C23" s="52" t="s">
        <v>17</v>
      </c>
      <c r="D23" s="6" t="s">
        <v>26</v>
      </c>
      <c r="F23" s="50">
        <v>0.2</v>
      </c>
    </row>
    <row r="24" spans="2:6">
      <c r="B24" s="45" t="str">
        <f t="shared" si="2"/>
        <v>Agressivo-HOTERALIAS</v>
      </c>
      <c r="C24" s="52" t="s">
        <v>17</v>
      </c>
      <c r="D24" s="6" t="s">
        <v>27</v>
      </c>
      <c r="F24" s="50">
        <v>0.1</v>
      </c>
    </row>
    <row r="25" spans="2:6">
      <c r="B25" s="54"/>
      <c r="C25" s="44"/>
      <c r="D25" s="44"/>
      <c r="E25" s="44"/>
      <c r="F25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2026-09-11T18:20:14Z</dcterms:created>
  <dcterms:modified xsi:type="dcterms:W3CDTF">2026-09-13T10:22:12Z</dcterms:modified>
  <cp:category/>
  <cp:contentStatus/>
</cp:coreProperties>
</file>